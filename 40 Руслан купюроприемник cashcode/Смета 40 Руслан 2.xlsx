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FILES-D\ARDUINO PROJECTS\PROJECTS\40 Руслан купюроприемник cashcode\"/>
    </mc:Choice>
  </mc:AlternateContent>
  <xr:revisionPtr revIDLastSave="0" documentId="13_ncr:1_{9A715C53-AD7E-4CAF-B08F-2B934B5B17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" l="1"/>
  <c r="E8" i="1"/>
  <c r="E6" i="1"/>
  <c r="E4" i="1"/>
  <c r="E5" i="1"/>
  <c r="E7" i="1"/>
  <c r="E14" i="1"/>
  <c r="E13" i="1"/>
  <c r="E10" i="1"/>
  <c r="E17" i="1" l="1"/>
</calcChain>
</file>

<file path=xl/sharedStrings.xml><?xml version="1.0" encoding="utf-8"?>
<sst xmlns="http://schemas.openxmlformats.org/spreadsheetml/2006/main" count="22" uniqueCount="22">
  <si>
    <t>Стоимость 1шт, руб</t>
  </si>
  <si>
    <t>Колво, шт</t>
  </si>
  <si>
    <t>Итого стоимость, руб</t>
  </si>
  <si>
    <t>КОМПОНЕНТЫ</t>
  </si>
  <si>
    <t>Расходные материалы</t>
  </si>
  <si>
    <t>УСЛУГИ</t>
  </si>
  <si>
    <t>Сборка, спайка, отладка работы устройства</t>
  </si>
  <si>
    <t>Программа, прошивка устройства</t>
  </si>
  <si>
    <t>ИТОГО ЗА 1 УСТРОЙСТВО</t>
  </si>
  <si>
    <t>Ссылка</t>
  </si>
  <si>
    <t>https://www.ozon.ru/product/kontroller-arduino-nano-v3-0-type-c-usb-ch340-plata-arduino-nano-v3-0-piny-dlya-payki-629678259/?asb=zEASx0cbzsjS0L0J0Gs5CQitYGMSirJNfvJimgUvlEo%253D&amp;asb2=ZTLGfKN_D-hZlVpeJnMJ4jmeKfXo7g3vXni3C3jhc16KKUoMkuYA6UOfdvvIoNzNVjnuuDuQmSqmPo7YbqvuLQ&amp;avtc=1&amp;avte=4&amp;avts=1733242224&amp;keywords=ардуино+нано</t>
  </si>
  <si>
    <t>Контроллер Arduino NANO V3.0 TYPE-C USB (CH340)/ Плата Ардуино Нано V3.0, пины для пайки</t>
  </si>
  <si>
    <t>https://www.ozon.ru/product/1sht-mg995-servoprivod-180grad-napryazhenie-4-8-7-2-v-ampertok-tower-pro-mg995-unleplant-1197851514/</t>
  </si>
  <si>
    <t>1шт. MG995 Сервопривод 180град/Напряжение 4,8 - 7,2 В/Ampertok Tower Pro MG995/UNLEPLANT/ (Arduino)-1шт.</t>
  </si>
  <si>
    <t>Символьный LCD дисплей 2004, 20х4 знака, синий, с I2C адаптером</t>
  </si>
  <si>
    <t>https://www.ozon.ru/product/simvolnyy-lcd-displey-2004-20h4-znaka-siniy-s-i2c-adapterom-650378833/?at=mqtkqEALAcW7RByBtYN7XmxCxQE6ZRtEqB5KrfpV9V7z&amp;keywords=lcd+2004+i2c</t>
  </si>
  <si>
    <t>MH-ET Live Scanner V3.0, сканер QR-кодов для Arduino и Raspberry Pi</t>
  </si>
  <si>
    <t>Xnbada Светодиодная лента, 5 , IP30, 60 LED/m</t>
  </si>
  <si>
    <t>https://ampero.ru/mh-et-live-scanner-v30-skaner-qr-kodov.html?yclid=15122347513999523839</t>
  </si>
  <si>
    <t>https://www.ozon.ru/product/xnbada-svetodiodnaya-lenta-5-ip30-60-led-m-910054240/?at=57tw1lqvAckz8Am3TyoJM0ysvVqrKki5A6LAAsGJXy9P&amp;keywords=ws2812</t>
  </si>
  <si>
    <t>Блок питания 5В 2А, без индикатора работы, штекер 5.5х2.5 мм, подходит для видеокамер, бытовой техники, светодиодных лент</t>
  </si>
  <si>
    <t>https://www.ozon.ru/product/blok-pitaniya-5v-2a-bez-indikatora-raboty-shteker-5-5h2-5-mm-podhodit-dlya-videokamer-1097072552/?at=J8tgon0XxI9nVx0Ju7p22rXCnpLjqVtp4xQv6F4Pwml4&amp;from_sku=1190735679&amp;oos_search=false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</si>
</sst>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44" fontId="0" fillId="2" borderId="0" xfId="1" applyFont="1" applyFill="1"/>
    <xf numFmtId="0" fontId="0" fillId="2" borderId="0" xfId="0" applyFill="1" applyAlignment="1">
      <alignment horizont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7"/>
  <sheetViews>
    <sheetView tabSelected="1" zoomScale="115" zoomScaleNormal="115" workbookViewId="0">
      <selection activeCell="F11" sqref="F11"/>
    </sheetView>
  </sheetViews>
  <sheetFormatPr defaultRowHeight="15" x14ac:dyDescent="0.25"/>
  <cols>
    <col min="2" max="2" width="47.42578125" customWidth="1"/>
    <col min="3" max="3" width="20.42578125" bestFit="1" customWidth="1"/>
    <col min="4" max="4" width="10" bestFit="1" customWidth="1"/>
    <col min="5" max="5" width="22.140625" bestFit="1" customWidth="1"/>
  </cols>
  <sheetData>
    <row r="1" spans="2:6" x14ac:dyDescent="0.25">
      <c r="C1" s="1" t="s">
        <v>0</v>
      </c>
      <c r="D1" t="s">
        <v>1</v>
      </c>
      <c r="E1" s="1" t="s">
        <v>2</v>
      </c>
      <c r="F1" t="s">
        <v>9</v>
      </c>
    </row>
    <row r="2" spans="2:6" x14ac:dyDescent="0.25">
      <c r="C2" s="1"/>
      <c r="E2" s="1"/>
    </row>
    <row r="3" spans="2:6" x14ac:dyDescent="0.25">
      <c r="B3" t="s">
        <v>3</v>
      </c>
      <c r="C3" s="1"/>
      <c r="E3" s="1"/>
    </row>
    <row r="4" spans="2:6" x14ac:dyDescent="0.25">
      <c r="B4" t="s">
        <v>11</v>
      </c>
      <c r="C4" s="1">
        <v>387</v>
      </c>
      <c r="D4">
        <v>1</v>
      </c>
      <c r="E4" s="1">
        <f t="shared" ref="E4:E9" si="0">C4*D4</f>
        <v>387</v>
      </c>
      <c r="F4" t="s">
        <v>10</v>
      </c>
    </row>
    <row r="5" spans="2:6" x14ac:dyDescent="0.25">
      <c r="B5" t="s">
        <v>14</v>
      </c>
      <c r="C5" s="1">
        <v>640</v>
      </c>
      <c r="D5">
        <v>1</v>
      </c>
      <c r="E5" s="1">
        <f t="shared" si="0"/>
        <v>640</v>
      </c>
      <c r="F5" t="s">
        <v>15</v>
      </c>
    </row>
    <row r="6" spans="2:6" x14ac:dyDescent="0.25">
      <c r="B6" t="s">
        <v>13</v>
      </c>
      <c r="C6" s="1">
        <v>495</v>
      </c>
      <c r="D6">
        <v>4</v>
      </c>
      <c r="E6" s="1">
        <f t="shared" si="0"/>
        <v>1980</v>
      </c>
      <c r="F6" t="s">
        <v>12</v>
      </c>
    </row>
    <row r="7" spans="2:6" x14ac:dyDescent="0.25">
      <c r="B7" t="s">
        <v>20</v>
      </c>
      <c r="C7" s="1">
        <v>270</v>
      </c>
      <c r="D7">
        <v>1</v>
      </c>
      <c r="E7" s="1">
        <f t="shared" si="0"/>
        <v>270</v>
      </c>
      <c r="F7" t="s">
        <v>21</v>
      </c>
    </row>
    <row r="8" spans="2:6" x14ac:dyDescent="0.25">
      <c r="B8" t="s">
        <v>16</v>
      </c>
      <c r="C8" s="1">
        <v>2275</v>
      </c>
      <c r="D8">
        <v>1</v>
      </c>
      <c r="E8" s="1">
        <f t="shared" si="0"/>
        <v>2275</v>
      </c>
      <c r="F8" t="s">
        <v>18</v>
      </c>
    </row>
    <row r="9" spans="2:6" x14ac:dyDescent="0.25">
      <c r="B9" t="s">
        <v>17</v>
      </c>
      <c r="C9" s="1">
        <v>1236</v>
      </c>
      <c r="D9">
        <v>1</v>
      </c>
      <c r="E9" s="1">
        <f t="shared" si="0"/>
        <v>1236</v>
      </c>
      <c r="F9" t="s">
        <v>19</v>
      </c>
    </row>
    <row r="10" spans="2:6" x14ac:dyDescent="0.25">
      <c r="B10" t="s">
        <v>4</v>
      </c>
      <c r="C10" s="1">
        <v>100</v>
      </c>
      <c r="D10">
        <v>1</v>
      </c>
      <c r="E10" s="1">
        <f t="shared" ref="E10" si="1">C10*D10</f>
        <v>100</v>
      </c>
    </row>
    <row r="11" spans="2:6" x14ac:dyDescent="0.25">
      <c r="C11" s="1"/>
      <c r="E11" s="1"/>
    </row>
    <row r="12" spans="2:6" x14ac:dyDescent="0.25">
      <c r="B12" t="s">
        <v>5</v>
      </c>
      <c r="C12" s="1"/>
      <c r="E12" s="1"/>
    </row>
    <row r="13" spans="2:6" x14ac:dyDescent="0.25">
      <c r="B13" t="s">
        <v>6</v>
      </c>
      <c r="C13" s="1">
        <v>8500</v>
      </c>
      <c r="D13">
        <v>1</v>
      </c>
      <c r="E13" s="1">
        <f>C13*D13</f>
        <v>8500</v>
      </c>
    </row>
    <row r="14" spans="2:6" x14ac:dyDescent="0.25">
      <c r="B14" t="s">
        <v>7</v>
      </c>
      <c r="C14" s="1">
        <v>7500</v>
      </c>
      <c r="D14">
        <v>1</v>
      </c>
      <c r="E14" s="1">
        <f>C14*D14</f>
        <v>7500</v>
      </c>
    </row>
    <row r="15" spans="2:6" x14ac:dyDescent="0.25">
      <c r="C15" s="1"/>
      <c r="E15" s="1"/>
    </row>
    <row r="16" spans="2:6" x14ac:dyDescent="0.25">
      <c r="C16" s="1"/>
      <c r="E16" s="1"/>
    </row>
    <row r="17" spans="3:5" x14ac:dyDescent="0.25">
      <c r="C17" s="3" t="s">
        <v>8</v>
      </c>
      <c r="D17" s="3"/>
      <c r="E17" s="2">
        <f>SUM(E4:E14)</f>
        <v>22888</v>
      </c>
    </row>
  </sheetData>
  <mergeCells count="1">
    <mergeCell ref="C17:D1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Арслан Курбанов</dc:creator>
  <cp:lastModifiedBy>Арслан Курбанов</cp:lastModifiedBy>
  <dcterms:created xsi:type="dcterms:W3CDTF">2015-06-05T18:19:34Z</dcterms:created>
  <dcterms:modified xsi:type="dcterms:W3CDTF">2025-03-04T17:36:38Z</dcterms:modified>
</cp:coreProperties>
</file>