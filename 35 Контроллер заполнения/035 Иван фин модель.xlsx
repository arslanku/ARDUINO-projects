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FILES-D\ARDUINO PROJECTS\PROJECTS\35 Контроллер заполнения\"/>
    </mc:Choice>
  </mc:AlternateContent>
  <xr:revisionPtr revIDLastSave="0" documentId="13_ncr:1_{BD02034E-6B9F-41E3-9197-D54B245A0A21}" xr6:coauthVersionLast="47" xr6:coauthVersionMax="47" xr10:uidLastSave="{00000000-0000-0000-0000-000000000000}"/>
  <bookViews>
    <workbookView xWindow="2010" yWindow="2220" windowWidth="2160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4" i="1"/>
  <c r="E7" i="1"/>
  <c r="E11" i="1"/>
  <c r="E10" i="1"/>
  <c r="E14" i="1" l="1"/>
</calcChain>
</file>

<file path=xl/sharedStrings.xml><?xml version="1.0" encoding="utf-8"?>
<sst xmlns="http://schemas.openxmlformats.org/spreadsheetml/2006/main" count="17" uniqueCount="17">
  <si>
    <t>Наименование</t>
  </si>
  <si>
    <t>Ссылка</t>
  </si>
  <si>
    <t>Датчик уровня жидкости / Датчик жидкости / воды XKC-Y25-PNP</t>
  </si>
  <si>
    <t>Контроллер Arduino NANO V3.0 TYPE-C USB (CH340)/ Плата Ардуино Нано V3.0, пины для пайки</t>
  </si>
  <si>
    <t>Сервопривод MG995, 10 кг Arduino</t>
  </si>
  <si>
    <t>https://www.ozon.ru/product/datchik-urovnya-zhidkosti-datchik-zhidkosti-vody-xkc-y25-pnp-838281756/</t>
  </si>
  <si>
    <t>Колво, шт</t>
  </si>
  <si>
    <t>https://www.ozon.ru/product/kontroller-arduino-nano-v3-0-type-c-usb-ch340-plata-arduino-nano-v3-0-piny-dlya-payki-629678259/?advert=3kbEHPA0FncouG6klHrSFL7gRwwdMsnswqOhogHqT1rwQFAVOiNsWzcgr6Ndh8zXi728Rh-ZF-aEWBPsJco6wguCXa4IYgBSoIolVRaShHOIyY-f_Aa5pyIZlYf-zGyrjaE0hzmzJvQqlJbZD2Fan9lyjKJt3Waef2hUbu4fWCSz08nHFdi7To45PsRRx2ZUbbax-vivmy-infxzQbH5p776RzTIf-KzZsNd99BbA6GwyjwO5Iyk0ouEVJ7NKm7AsUxUvs9G1Hd3_ar11h5Bwrq7kpnSaFiHlZX6GHHSi9p4GNsT2j91EE_9J157zYgn9f49AaskNGbJJm5WEWdrMf4ENY6vPY6R9UrjqWobS01M6fYrEkmiq67pRdqYL1zPdANmB_oz&amp;avtc=1&amp;avte=2&amp;avts=1721929921&amp;keywords=ардуино+нано</t>
  </si>
  <si>
    <t>https://www.ozon.ru/product/servoprivod-mg995-10-kg-arduino-919472401/?asb=ErwXwLw3nOjr27QTw4dM1a3zUY9FKerqca4dFpd3XIU%253D&amp;asb2=APcqqTG6fULcEAb2zswh7dheTLI6j8qo8_oUMyoS-WxW-6A_MPCP_8229Pt0AOfg1PwtcTE5k9LulH8Jy41kRg&amp;avtc=1&amp;avte=2&amp;avts=1721929799&amp;keywords=сервопривод+ардуино</t>
  </si>
  <si>
    <t>Итого стоимость, руб</t>
  </si>
  <si>
    <t>УСЛУГИ</t>
  </si>
  <si>
    <t>КОМПОНЕНТЫ</t>
  </si>
  <si>
    <t>Расходные материалы</t>
  </si>
  <si>
    <t>Программа, прошивка устройства</t>
  </si>
  <si>
    <t>Стоимость 1шт, руб</t>
  </si>
  <si>
    <t>ИТОГО ЗА 1 УСТРОЙСТВО</t>
  </si>
  <si>
    <t>Сборка, спайка, отладка работы устройства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</si>
</sst>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2" borderId="0" xfId="1" applyFont="1" applyFill="1"/>
    <xf numFmtId="0" fontId="0" fillId="2" borderId="0" xfId="0" applyFill="1" applyAlignment="1">
      <alignment horizont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4"/>
  <sheetViews>
    <sheetView tabSelected="1" workbookViewId="0">
      <selection activeCell="B11" sqref="B11"/>
    </sheetView>
  </sheetViews>
  <sheetFormatPr defaultRowHeight="15" x14ac:dyDescent="0.25"/>
  <cols>
    <col min="2" max="2" width="60.85546875" bestFit="1" customWidth="1"/>
    <col min="3" max="3" width="28.7109375" style="1" bestFit="1" customWidth="1"/>
    <col min="4" max="4" width="10" bestFit="1" customWidth="1"/>
    <col min="5" max="5" width="22.140625" style="1" bestFit="1" customWidth="1"/>
    <col min="6" max="6" width="7.5703125" bestFit="1" customWidth="1"/>
  </cols>
  <sheetData>
    <row r="1" spans="2:6" x14ac:dyDescent="0.25">
      <c r="B1" t="s">
        <v>0</v>
      </c>
      <c r="C1" s="1" t="s">
        <v>14</v>
      </c>
      <c r="D1" t="s">
        <v>6</v>
      </c>
      <c r="E1" s="1" t="s">
        <v>9</v>
      </c>
      <c r="F1" t="s">
        <v>1</v>
      </c>
    </row>
    <row r="3" spans="2:6" x14ac:dyDescent="0.25">
      <c r="B3" t="s">
        <v>11</v>
      </c>
    </row>
    <row r="4" spans="2:6" x14ac:dyDescent="0.25">
      <c r="B4" t="s">
        <v>2</v>
      </c>
      <c r="C4" s="1">
        <v>788</v>
      </c>
      <c r="D4">
        <v>1</v>
      </c>
      <c r="E4" s="1">
        <f t="shared" ref="E4:E6" si="0">C4*D4</f>
        <v>788</v>
      </c>
      <c r="F4" t="s">
        <v>5</v>
      </c>
    </row>
    <row r="5" spans="2:6" x14ac:dyDescent="0.25">
      <c r="B5" t="s">
        <v>4</v>
      </c>
      <c r="C5" s="1">
        <v>436</v>
      </c>
      <c r="D5">
        <v>1</v>
      </c>
      <c r="E5" s="1">
        <f t="shared" si="0"/>
        <v>436</v>
      </c>
      <c r="F5" t="s">
        <v>8</v>
      </c>
    </row>
    <row r="6" spans="2:6" x14ac:dyDescent="0.25">
      <c r="B6" t="s">
        <v>3</v>
      </c>
      <c r="C6" s="1">
        <v>465</v>
      </c>
      <c r="D6">
        <v>1</v>
      </c>
      <c r="E6" s="1">
        <f t="shared" si="0"/>
        <v>465</v>
      </c>
      <c r="F6" t="s">
        <v>7</v>
      </c>
    </row>
    <row r="7" spans="2:6" x14ac:dyDescent="0.25">
      <c r="B7" t="s">
        <v>12</v>
      </c>
      <c r="C7" s="1">
        <v>100</v>
      </c>
      <c r="D7">
        <v>1</v>
      </c>
      <c r="E7" s="1">
        <f t="shared" ref="E7" si="1">C7*D7</f>
        <v>100</v>
      </c>
    </row>
    <row r="9" spans="2:6" x14ac:dyDescent="0.25">
      <c r="B9" t="s">
        <v>10</v>
      </c>
    </row>
    <row r="10" spans="2:6" x14ac:dyDescent="0.25">
      <c r="B10" t="s">
        <v>16</v>
      </c>
      <c r="C10" s="1">
        <v>3500</v>
      </c>
      <c r="D10">
        <v>1</v>
      </c>
      <c r="E10" s="1">
        <f>C10*D10</f>
        <v>3500</v>
      </c>
    </row>
    <row r="11" spans="2:6" x14ac:dyDescent="0.25">
      <c r="B11" t="s">
        <v>13</v>
      </c>
      <c r="C11" s="1">
        <v>2500</v>
      </c>
      <c r="D11">
        <v>1</v>
      </c>
      <c r="E11" s="1">
        <f>C11*D11</f>
        <v>2500</v>
      </c>
    </row>
    <row r="14" spans="2:6" x14ac:dyDescent="0.25">
      <c r="C14" s="3" t="s">
        <v>15</v>
      </c>
      <c r="D14" s="3"/>
      <c r="E14" s="2">
        <f>SUM(E4:E11)</f>
        <v>7789</v>
      </c>
    </row>
  </sheetData>
  <mergeCells count="1">
    <mergeCell ref="C14:D1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Арслан Курбанов</dc:creator>
  <cp:lastModifiedBy>Арслан Курбанов</cp:lastModifiedBy>
  <dcterms:created xsi:type="dcterms:W3CDTF">2015-06-05T18:19:34Z</dcterms:created>
  <dcterms:modified xsi:type="dcterms:W3CDTF">2024-07-25T18:11:07Z</dcterms:modified>
</cp:coreProperties>
</file>