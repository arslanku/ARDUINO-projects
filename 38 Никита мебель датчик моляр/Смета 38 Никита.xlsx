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FILES-D\ARDUINO PROJECTS\PROJECTS\38 Никита мебель датчик моляр\"/>
    </mc:Choice>
  </mc:AlternateContent>
  <xr:revisionPtr revIDLastSave="0" documentId="13_ncr:1_{EF5C783E-971C-4A2A-B857-B02E1FF1B5AC}" xr6:coauthVersionLast="47" xr6:coauthVersionMax="47" xr10:uidLastSave="{00000000-0000-0000-0000-000000000000}"/>
  <bookViews>
    <workbookView xWindow="3690" yWindow="2235" windowWidth="2160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13" i="1"/>
  <c r="E12" i="1"/>
  <c r="E9" i="1"/>
  <c r="E16" i="1" l="1"/>
</calcChain>
</file>

<file path=xl/sharedStrings.xml><?xml version="1.0" encoding="utf-8"?>
<sst xmlns="http://schemas.openxmlformats.org/spreadsheetml/2006/main" count="20" uniqueCount="20">
  <si>
    <t>Стоимость 1шт, руб</t>
  </si>
  <si>
    <t>Колво, шт</t>
  </si>
  <si>
    <t>Итого стоимость, руб</t>
  </si>
  <si>
    <t>КОМПОНЕНТЫ</t>
  </si>
  <si>
    <t>Расходные материалы</t>
  </si>
  <si>
    <t>УСЛУГИ</t>
  </si>
  <si>
    <t>Сборка, спайка, отладка работы устройства</t>
  </si>
  <si>
    <t>Программа, прошивка устройства</t>
  </si>
  <si>
    <t>ИТОГО ЗА 1 УСТРОЙСТВО</t>
  </si>
  <si>
    <t>Кнопка без фиксации круглая 3А max. 250В / Выключатель круглый красный без фиксации ON-OFF, 2 контакта (2с), 2 pin, PBS-11b</t>
  </si>
  <si>
    <t>https://www.ozon.ru/product/knopka-bez-fiksatsii-kruglaya-3a-max-250v-vyklyuchatel-kruglyy-krasnyy-bez-fiksatsii-on-off-2-1678824592/?asb=q4%252ByKqzgfCRMtLWeQ8LzROGEhsnXsCV4NVumRb4apgM%253D&amp;asb2=k38Rl--S3v1FWhefQYwczLodjcnOlNeIFibPKmgChW7jDi6HUoXsq6v5KVipUDJKEcHKoqN1jLfNnPPcY3Xeng&amp;avtc=1&amp;avte=4&amp;avts=1733241136&amp;keywords=кнопка+без+фиксации</t>
  </si>
  <si>
    <t>LCD дисплей 1602 синий, с I2C модулем, для Arduino, NodeMCU, STM32</t>
  </si>
  <si>
    <t>https://www.ozon.ru/product/lcd-displey-1602-siniy-s-i2c-modulem-dlya-arduino-nodemcu-stm32-1538752485/?asb=mCoPbMoLqzuh5cmY6jpmUrApjITuN4H7LpbBh3cdmd4%253D&amp;asb2=Jf_8OZMuSsyiOj289saXsuxVAfV96HIHBwa4XSMFczwS5hhKd7WuhDaNV9mjX2KI2jkZvYE9NQ7R-8_NWQ91EA&amp;avtc=1&amp;avte=4&amp;avts=1733241326&amp;keywords=lcd+1602+i2c</t>
  </si>
  <si>
    <t>Коробка монтажная распределительная 85х85х40 мм с крышкой для открытого монтажа, 6 вводов, IP55 IMT35092 Systeme Electric</t>
  </si>
  <si>
    <t>https://www.ozon.ru/product/korobka-montazhnaya-raspredelitelnaya-85h85h40-mm-s-kryshkoy-dlya-otkrytogo-montazha-6-vvodov-1672256569/?advert=AAMBog1aS90cD_MeEVtX8ba8IbbuP2hnSNJrDeThJ6CTYGnj_4dU1zQuEEv_jM8MkE5kfDnjWhpP_huYKQUd4Ekiwb3HQVVrts8TfJnrMxPL2d_QHyWmNkZAWZh2iSN6uuCDjYql3JqNIQVmkOQtJS4jQvqEGfndaa5AogyuC3BWS_PB7pa40-kF1KbLxAbp1hhZX7x9B01J2hLn3A0ISwMlFBREMraILTcMr-tnAmIT9M97EOrdAT0D11jhYbmtSMqYXuDOWusND49kCQ0JGA8zgFGI2VdmD4uNNKx1mvdKi6Di2mP5KMAwjXtxo0i7cfHlpND9ZVvNSqWw7rRzQLgY_EvMn6DXKAV8wCjPUEopEy-VYWBga7YR_tWzvt5I0nCY59T_9nHdPwVUiwrJvP29Yh83WUkHDXo&amp;avtc=1&amp;avte=4&amp;avts=1733241471&amp;keywords=распределительная+коробка</t>
  </si>
  <si>
    <t>Ссылка</t>
  </si>
  <si>
    <t>https://www.ozon.ru/product/kontroller-arduino-nano-v3-0-type-c-usb-ch340-plata-arduino-nano-v3-0-piny-dlya-payki-629678259/?asb=zEASx0cbzsjS0L0J0Gs5CQitYGMSirJNfvJimgUvlEo%253D&amp;asb2=ZTLGfKN_D-hZlVpeJnMJ4jmeKfXo7g3vXni3C3jhc16KKUoMkuYA6UOfdvvIoNzNVjnuuDuQmSqmPo7YbqvuLQ&amp;avtc=1&amp;avte=4&amp;avts=1733242224&amp;keywords=ардуино+нано</t>
  </si>
  <si>
    <t>Контроллер Arduino NANO V3.0 TYPE-C USB (CH340)/ Плата Ардуино Нано V3.0, пины для пайки</t>
  </si>
  <si>
    <t>Блок питания 5v, 2A (5 вольт 2 ампера), LP-86</t>
  </si>
  <si>
    <t>https://www.ozon.ru/product/blok-pitaniya-5v-2a-5-volt-2-ampera-lp-86-1314123313/?advert=AAMBhaZ2zRT3HGVaamWMHh-YlOopp24Z12tPVNIdhwXfJZHmWfXmeVSw_4zHQT4Eq_sIeQbyD_WSJUFMQKngCY0niaMCAFRaGm9OJBzQxrjMCsyKLXQxPp80Iq62RDmDunNpGUi1Im7_Ii1XdmDiHUaNcvDKN0JTTTkDm-xMnShzAXti25qpVH-IQ0d7VG7lrn465SfO7g9ZHBEf1yWbXQ2UEdePyyafUp9UW6GptyFnmuVposQhd9VWcDK4ArBCuV2AoBFb-Cicz8qlOYIOxgdUaqhvdX_fPxOVCeYz3MxkrBTyye0HZQA9CSti4QlGdIWEhQawYafhuZqosbJ6JSrLa_7XnMNzK-ewaKNPJGkXGjMsKjDj8app-APOxWMCgxg2fxN1FI9lQLcJQcaWjXoTAvMjCQ&amp;avtc=1&amp;avte=4&amp;avts=1733242843&amp;keywords=блок+питания+5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</si>
</sst>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2" borderId="0" xfId="1" applyFont="1" applyFill="1"/>
    <xf numFmtId="0" fontId="0" fillId="2" borderId="0" xfId="0" applyFill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6"/>
  <sheetViews>
    <sheetView tabSelected="1" workbookViewId="0">
      <selection activeCell="G9" sqref="G9"/>
    </sheetView>
  </sheetViews>
  <sheetFormatPr defaultRowHeight="15" x14ac:dyDescent="0.25"/>
  <cols>
    <col min="2" max="2" width="47.42578125" customWidth="1"/>
    <col min="3" max="3" width="20.42578125" bestFit="1" customWidth="1"/>
    <col min="4" max="4" width="10" bestFit="1" customWidth="1"/>
    <col min="5" max="5" width="22.140625" bestFit="1" customWidth="1"/>
  </cols>
  <sheetData>
    <row r="1" spans="2:6" x14ac:dyDescent="0.25">
      <c r="C1" s="1" t="s">
        <v>0</v>
      </c>
      <c r="D1" t="s">
        <v>1</v>
      </c>
      <c r="E1" s="1" t="s">
        <v>2</v>
      </c>
      <c r="F1" t="s">
        <v>15</v>
      </c>
    </row>
    <row r="2" spans="2:6" x14ac:dyDescent="0.25">
      <c r="C2" s="1"/>
      <c r="E2" s="1"/>
    </row>
    <row r="3" spans="2:6" x14ac:dyDescent="0.25">
      <c r="B3" t="s">
        <v>3</v>
      </c>
      <c r="C3" s="1"/>
      <c r="E3" s="1"/>
    </row>
    <row r="4" spans="2:6" x14ac:dyDescent="0.25">
      <c r="B4" t="s">
        <v>17</v>
      </c>
      <c r="C4" s="1">
        <v>435</v>
      </c>
      <c r="D4">
        <v>1</v>
      </c>
      <c r="E4" s="1">
        <f t="shared" ref="E4:E8" si="0">C4*D4</f>
        <v>435</v>
      </c>
      <c r="F4" t="s">
        <v>16</v>
      </c>
    </row>
    <row r="5" spans="2:6" x14ac:dyDescent="0.25">
      <c r="B5" t="s">
        <v>9</v>
      </c>
      <c r="C5" s="1">
        <v>164</v>
      </c>
      <c r="D5">
        <v>1</v>
      </c>
      <c r="E5" s="1">
        <f t="shared" si="0"/>
        <v>164</v>
      </c>
      <c r="F5" t="s">
        <v>10</v>
      </c>
    </row>
    <row r="6" spans="2:6" x14ac:dyDescent="0.25">
      <c r="B6" t="s">
        <v>11</v>
      </c>
      <c r="C6" s="1">
        <v>310</v>
      </c>
      <c r="D6">
        <v>1</v>
      </c>
      <c r="E6" s="1">
        <f t="shared" si="0"/>
        <v>310</v>
      </c>
      <c r="F6" t="s">
        <v>12</v>
      </c>
    </row>
    <row r="7" spans="2:6" x14ac:dyDescent="0.25">
      <c r="B7" t="s">
        <v>13</v>
      </c>
      <c r="C7" s="1">
        <v>252</v>
      </c>
      <c r="D7">
        <v>1</v>
      </c>
      <c r="E7" s="1">
        <f t="shared" si="0"/>
        <v>252</v>
      </c>
      <c r="F7" t="s">
        <v>14</v>
      </c>
    </row>
    <row r="8" spans="2:6" x14ac:dyDescent="0.25">
      <c r="B8" t="s">
        <v>18</v>
      </c>
      <c r="C8" s="1">
        <v>295</v>
      </c>
      <c r="D8">
        <v>1</v>
      </c>
      <c r="E8" s="1">
        <f t="shared" si="0"/>
        <v>295</v>
      </c>
      <c r="F8" t="s">
        <v>19</v>
      </c>
    </row>
    <row r="9" spans="2:6" x14ac:dyDescent="0.25">
      <c r="B9" t="s">
        <v>4</v>
      </c>
      <c r="C9" s="1">
        <v>100</v>
      </c>
      <c r="D9">
        <v>1</v>
      </c>
      <c r="E9" s="1">
        <f t="shared" ref="E9" si="1">C9*D9</f>
        <v>100</v>
      </c>
    </row>
    <row r="10" spans="2:6" x14ac:dyDescent="0.25">
      <c r="C10" s="1"/>
      <c r="E10" s="1"/>
    </row>
    <row r="11" spans="2:6" x14ac:dyDescent="0.25">
      <c r="B11" t="s">
        <v>5</v>
      </c>
      <c r="C11" s="1"/>
      <c r="E11" s="1"/>
    </row>
    <row r="12" spans="2:6" x14ac:dyDescent="0.25">
      <c r="B12" t="s">
        <v>6</v>
      </c>
      <c r="C12" s="1">
        <v>2000</v>
      </c>
      <c r="D12">
        <v>1</v>
      </c>
      <c r="E12" s="1">
        <f>C12*D12</f>
        <v>2000</v>
      </c>
    </row>
    <row r="13" spans="2:6" x14ac:dyDescent="0.25">
      <c r="B13" t="s">
        <v>7</v>
      </c>
      <c r="C13" s="1">
        <v>2500</v>
      </c>
      <c r="D13">
        <v>1</v>
      </c>
      <c r="E13" s="1">
        <f>C13*D13</f>
        <v>2500</v>
      </c>
    </row>
    <row r="14" spans="2:6" x14ac:dyDescent="0.25">
      <c r="C14" s="1"/>
      <c r="E14" s="1"/>
    </row>
    <row r="15" spans="2:6" x14ac:dyDescent="0.25">
      <c r="C15" s="1"/>
      <c r="E15" s="1"/>
    </row>
    <row r="16" spans="2:6" x14ac:dyDescent="0.25">
      <c r="C16" s="3" t="s">
        <v>8</v>
      </c>
      <c r="D16" s="3"/>
      <c r="E16" s="2">
        <f>SUM(E4:E13)</f>
        <v>6056</v>
      </c>
    </row>
  </sheetData>
  <mergeCells count="1">
    <mergeCell ref="C16:D1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Арслан Курбанов</dc:creator>
  <cp:lastModifiedBy>Арслан Курбанов</cp:lastModifiedBy>
  <dcterms:created xsi:type="dcterms:W3CDTF">2015-06-05T18:19:34Z</dcterms:created>
  <dcterms:modified xsi:type="dcterms:W3CDTF">2024-12-03T16:34:01Z</dcterms:modified>
</cp:coreProperties>
</file>