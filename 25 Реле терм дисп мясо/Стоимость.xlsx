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man\Desktop\"/>
    </mc:Choice>
  </mc:AlternateContent>
  <xr:revisionPtr revIDLastSave="0" documentId="13_ncr:1_{0BFB6276-F2F4-49A1-8031-E4588EF164C1}" xr6:coauthVersionLast="47" xr6:coauthVersionMax="47" xr10:uidLastSave="{00000000-0000-0000-0000-000000000000}"/>
  <bookViews>
    <workbookView xWindow="-120" yWindow="-120" windowWidth="29040" windowHeight="15720" xr2:uid="{E3F4E6D7-713F-458F-8D14-65629ACBA3D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G3" i="1"/>
  <c r="G4" i="1"/>
  <c r="G5" i="1"/>
  <c r="G6" i="1"/>
  <c r="G7" i="1"/>
  <c r="G2" i="1"/>
  <c r="J5" i="1"/>
  <c r="J3" i="1" l="1"/>
  <c r="J7" i="1" s="1"/>
</calcChain>
</file>

<file path=xl/sharedStrings.xml><?xml version="1.0" encoding="utf-8"?>
<sst xmlns="http://schemas.openxmlformats.org/spreadsheetml/2006/main" count="27" uniqueCount="27">
  <si>
    <t>название</t>
  </si>
  <si>
    <t>кол-во</t>
  </si>
  <si>
    <t>стоимость 1шт</t>
  </si>
  <si>
    <t>итого</t>
  </si>
  <si>
    <t>ссылка</t>
  </si>
  <si>
    <t>https://aliexpress.ru/item/4000899938277.html?spm=a2g2w.orderdetail.0.0.61874aa6M8eHyv&amp;sku_id=12000025206149674</t>
  </si>
  <si>
    <t>датчики температуры. 3 метровые</t>
  </si>
  <si>
    <t>https://aliexpress.ru/item/32467815969.html?spm=a2g2w.orderdetail.0.0.cc9a4aa65jPHLI&amp;sku_id=66654224724</t>
  </si>
  <si>
    <t>SSR-40DA твердотельный релейный модуль</t>
  </si>
  <si>
    <t>ЖК-дисплей LCD 2004</t>
  </si>
  <si>
    <t>https://aliexpress.ru/item/32517589987.html?spm=a2g2w.orderdetail.0.0.254c4aa6bJS9jA&amp;sku_id=10000001019210671</t>
  </si>
  <si>
    <t>https://aliexpress.ru/item/1005002976480289.html?sku_id=12000023034462919&amp;spm=a2g2w.productlist.search_results.1.19154aa6OG7KXr</t>
  </si>
  <si>
    <t>контроллер Nano arduino CH340 USB драйвер 16 МГц ATMEGA328P</t>
  </si>
  <si>
    <t>СТОИМОСТЬ КОМПОНЕНТОВ</t>
  </si>
  <si>
    <t>программное обеспечение</t>
  </si>
  <si>
    <t>сборка устройства</t>
  </si>
  <si>
    <t>остальные расходные компоненты</t>
  </si>
  <si>
    <t>СТОИМОСТЬ РАБОТЫ</t>
  </si>
  <si>
    <t>ИТОГОВАЯ СТОИМОСТЬ ЗА 1 УСТРОЙСТВО</t>
  </si>
  <si>
    <t>составление технического задания</t>
  </si>
  <si>
    <t>IIC Interface (для дисплея)</t>
  </si>
  <si>
    <t>https://aliexpress.ru/item/32517589987.html?spm=a2g2w.orderdetail.0.0.254c4aa6bJS9jA&amp;sku_id=66061175569</t>
  </si>
  <si>
    <t>стоимость доставки</t>
  </si>
  <si>
    <t>Водонепроницаемый кнопочный переключатель 12 мм, 5 шт</t>
  </si>
  <si>
    <t>https://aliexpress.ru/item/1005004589871985.html?sku_id=12000029744322992&amp;spm=a2g2w.productlist.search_results.8.1c194aa6lEvPCl</t>
  </si>
  <si>
    <t>https://aliexpress.ru/item/4000054664075.html?sku_id=10000000122010829&amp;spm=a2g2w.productlist.search_results.13.1f334aa6Riq6pq</t>
  </si>
  <si>
    <t>Блок питания DC 5V 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</si>
</sst>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rgb="FF222222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2" applyNumberFormat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44" fontId="2" fillId="0" borderId="0" xfId="1" applyFont="1" applyAlignment="1">
      <alignment horizontal="center" vertical="center" wrapText="1"/>
    </xf>
    <xf numFmtId="44" fontId="2" fillId="2" borderId="0" xfId="0" applyNumberFormat="1" applyFont="1" applyFill="1" applyAlignment="1">
      <alignment horizontal="center" vertical="center" wrapText="1"/>
    </xf>
    <xf numFmtId="44" fontId="2" fillId="2" borderId="0" xfId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1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44" fontId="2" fillId="3" borderId="0" xfId="0" applyNumberFormat="1" applyFont="1" applyFill="1" applyAlignment="1">
      <alignment horizontal="center" vertical="center" wrapText="1"/>
    </xf>
    <xf numFmtId="44" fontId="2" fillId="0" borderId="0" xfId="0" applyNumberFormat="1" applyFont="1" applyAlignment="1">
      <alignment horizontal="center" vertical="center" wrapText="1"/>
    </xf>
    <xf numFmtId="4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3">
    <cellStyle name="Гиперссылка" xfId="2" builtinId="8"/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409575</xdr:colOff>
      <xdr:row>4</xdr:row>
      <xdr:rowOff>390525</xdr:rowOff>
    </xdr:from>
    <xdr:to>
      <xdr:col>8</xdr:col>
      <xdr:colOff>714375</xdr:colOff>
      <xdr:row>6</xdr:row>
      <xdr:rowOff>123825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CBE372F4-AF56-4920-9E13-013090AD8CBE}"/>
            </a:ext>
          </a:extLst>
        </xdr:cNvPr>
        <xdr:cNvSpPr>
          <a:spLocks noChangeAspect="1" noChangeArrowheads="1"/>
        </xdr:cNvSpPr>
      </xdr:nvSpPr>
      <xdr:spPr bwMode="auto">
        <a:xfrm>
          <a:off x="10020300" y="2676525"/>
          <a:ext cx="304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aliexpress.ru/item/32517589987.html?spm=a2g2w.orderdetail.0.0.254c4aa6bJS9jA&amp;sku_id=10000001019210671" TargetMode="External"/><Relationship Id="rId7" Type="http://schemas.openxmlformats.org/officeDocument/2006/relationships/hyperlink" Target="https://aliexpress.ru/item/4000054664075.html?sku_id=10000000122010829&amp;spm=a2g2w.productlist.search_results.13.1f334aa6Riq6pq" TargetMode="External"/><Relationship Id="rId2" Type="http://schemas.openxmlformats.org/officeDocument/2006/relationships/hyperlink" Target="https://aliexpress.ru/item/32467815969.html?spm=a2g2w.orderdetail.0.0.cc9a4aa65jPHLI&amp;sku_id=66654224724" TargetMode="External"/><Relationship Id="rId1" Type="http://schemas.openxmlformats.org/officeDocument/2006/relationships/hyperlink" Target="https://aliexpress.ru/item/4000899938277.html?spm=a2g2w.orderdetail.0.0.61874aa6M8eHyv&amp;sku_id=12000025206149674" TargetMode="External"/><Relationship Id="rId6" Type="http://schemas.openxmlformats.org/officeDocument/2006/relationships/hyperlink" Target="https://aliexpress.ru/item/1005004589871985.html?sku_id=12000029744322992&amp;spm=a2g2w.productlist.search_results.8.1c194aa6lEvPCl" TargetMode="External"/><Relationship Id="rId5" Type="http://schemas.openxmlformats.org/officeDocument/2006/relationships/hyperlink" Target="https://aliexpress.ru/item/32517589987.html?spm=a2g2w.orderdetail.0.0.254c4aa6bJS9jA&amp;sku_id=66061175569" TargetMode="External"/><Relationship Id="rId4" Type="http://schemas.openxmlformats.org/officeDocument/2006/relationships/hyperlink" Target="https://aliexpress.ru/item/1005002976480289.html?sku_id=12000023034462919&amp;spm=a2g2w.productlist.search_results.1.19154aa6OG7KXr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646C1-6C29-49AA-8A86-CD9E687AC77F}">
  <dimension ref="A1:J12"/>
  <sheetViews>
    <sheetView tabSelected="1" zoomScaleNormal="100" workbookViewId="0">
      <selection activeCell="J12" sqref="J12"/>
    </sheetView>
  </sheetViews>
  <sheetFormatPr defaultRowHeight="15" x14ac:dyDescent="0.25"/>
  <cols>
    <col min="1" max="1" width="9.140625" style="1"/>
    <col min="2" max="2" width="31.7109375" style="1" customWidth="1"/>
    <col min="3" max="3" width="41.85546875" style="1" customWidth="1"/>
    <col min="4" max="4" width="9.140625" style="1" customWidth="1"/>
    <col min="5" max="6" width="16" style="3" customWidth="1"/>
    <col min="7" max="7" width="13.28515625" style="3" customWidth="1"/>
    <col min="8" max="8" width="9.140625" style="1"/>
    <col min="9" max="9" width="16.28515625" style="1" customWidth="1"/>
    <col min="10" max="10" width="16" style="1" customWidth="1"/>
    <col min="11" max="11" width="12.7109375" style="1" customWidth="1"/>
    <col min="12" max="12" width="9.140625" style="1" customWidth="1"/>
    <col min="13" max="16384" width="9.140625" style="1"/>
  </cols>
  <sheetData>
    <row r="1" spans="1:10" ht="30" x14ac:dyDescent="0.25">
      <c r="B1" s="7" t="s">
        <v>0</v>
      </c>
      <c r="C1" s="7" t="s">
        <v>4</v>
      </c>
      <c r="D1" s="7" t="s">
        <v>1</v>
      </c>
      <c r="E1" s="8" t="s">
        <v>2</v>
      </c>
      <c r="F1" s="8" t="s">
        <v>22</v>
      </c>
      <c r="G1" s="4" t="s">
        <v>3</v>
      </c>
    </row>
    <row r="2" spans="1:10" ht="45" x14ac:dyDescent="0.25">
      <c r="A2" s="1">
        <v>1</v>
      </c>
      <c r="B2" s="1" t="s">
        <v>8</v>
      </c>
      <c r="C2" s="2" t="s">
        <v>5</v>
      </c>
      <c r="D2" s="1">
        <v>6</v>
      </c>
      <c r="E2" s="3">
        <v>474.71</v>
      </c>
      <c r="F2" s="3">
        <v>475.76</v>
      </c>
      <c r="G2" s="3">
        <f>(D2*E2)+F2</f>
        <v>3324.0199999999995</v>
      </c>
    </row>
    <row r="3" spans="1:10" ht="45" x14ac:dyDescent="0.25">
      <c r="A3" s="1">
        <v>2</v>
      </c>
      <c r="B3" s="1" t="s">
        <v>6</v>
      </c>
      <c r="C3" s="2" t="s">
        <v>7</v>
      </c>
      <c r="D3" s="1">
        <v>3</v>
      </c>
      <c r="E3" s="3">
        <v>203.55</v>
      </c>
      <c r="F3" s="3">
        <v>257.49</v>
      </c>
      <c r="G3" s="3">
        <f>(D3*E3)+F3</f>
        <v>868.1400000000001</v>
      </c>
      <c r="I3" s="6" t="s">
        <v>13</v>
      </c>
      <c r="J3" s="5">
        <f>SUM(G2:G9)</f>
        <v>5567.17</v>
      </c>
    </row>
    <row r="4" spans="1:10" ht="60" x14ac:dyDescent="0.25">
      <c r="A4" s="1">
        <v>3</v>
      </c>
      <c r="B4" s="1" t="s">
        <v>23</v>
      </c>
      <c r="C4" s="2" t="s">
        <v>24</v>
      </c>
      <c r="D4" s="1">
        <v>1</v>
      </c>
      <c r="E4" s="3">
        <v>164.89</v>
      </c>
      <c r="F4" s="3">
        <v>0</v>
      </c>
      <c r="G4" s="3">
        <f t="shared" ref="G4:G8" si="0">(D4*E4)+F4</f>
        <v>164.89</v>
      </c>
    </row>
    <row r="5" spans="1:10" ht="45" x14ac:dyDescent="0.25">
      <c r="A5" s="1">
        <v>4</v>
      </c>
      <c r="B5" s="1" t="s">
        <v>9</v>
      </c>
      <c r="C5" s="2" t="s">
        <v>10</v>
      </c>
      <c r="D5" s="1">
        <v>1</v>
      </c>
      <c r="E5" s="3">
        <v>393.84</v>
      </c>
      <c r="F5" s="3">
        <v>111.33</v>
      </c>
      <c r="G5" s="3">
        <f t="shared" si="0"/>
        <v>505.16999999999996</v>
      </c>
      <c r="I5" s="10" t="s">
        <v>17</v>
      </c>
      <c r="J5" s="5">
        <f>SUM(G10:G11)</f>
        <v>9800</v>
      </c>
    </row>
    <row r="6" spans="1:10" ht="45" x14ac:dyDescent="0.25">
      <c r="A6" s="1">
        <v>5</v>
      </c>
      <c r="B6" s="15" t="s">
        <v>20</v>
      </c>
      <c r="C6" s="2" t="s">
        <v>21</v>
      </c>
      <c r="D6" s="1">
        <v>1</v>
      </c>
      <c r="E6" s="3">
        <v>70.37</v>
      </c>
      <c r="F6" s="3">
        <v>0</v>
      </c>
      <c r="G6" s="3">
        <f t="shared" si="0"/>
        <v>70.37</v>
      </c>
    </row>
    <row r="7" spans="1:10" ht="60" x14ac:dyDescent="0.25">
      <c r="A7" s="1">
        <v>6</v>
      </c>
      <c r="B7" s="1" t="s">
        <v>12</v>
      </c>
      <c r="C7" s="2" t="s">
        <v>11</v>
      </c>
      <c r="D7" s="1">
        <v>1</v>
      </c>
      <c r="E7" s="3">
        <v>210.05</v>
      </c>
      <c r="F7" s="3">
        <v>0</v>
      </c>
      <c r="G7" s="3">
        <f t="shared" si="0"/>
        <v>210.05</v>
      </c>
      <c r="H7" s="9"/>
      <c r="I7" s="11" t="s">
        <v>18</v>
      </c>
      <c r="J7" s="12">
        <f>SUM(J3:J5)</f>
        <v>15367.17</v>
      </c>
    </row>
    <row r="8" spans="1:10" ht="45" x14ac:dyDescent="0.25">
      <c r="A8" s="1">
        <v>7</v>
      </c>
      <c r="B8" s="1" t="s">
        <v>26</v>
      </c>
      <c r="C8" s="2" t="s">
        <v>25</v>
      </c>
      <c r="D8" s="1">
        <v>1</v>
      </c>
      <c r="E8" s="3">
        <v>324.52999999999997</v>
      </c>
      <c r="F8" s="3">
        <v>0</v>
      </c>
      <c r="G8" s="3">
        <f t="shared" si="0"/>
        <v>324.52999999999997</v>
      </c>
      <c r="H8" s="9"/>
      <c r="I8" s="7"/>
      <c r="J8" s="13"/>
    </row>
    <row r="9" spans="1:10" ht="30" x14ac:dyDescent="0.25">
      <c r="A9" s="1">
        <v>8</v>
      </c>
      <c r="B9" s="1" t="s">
        <v>16</v>
      </c>
      <c r="G9" s="3">
        <v>100</v>
      </c>
      <c r="I9" s="14"/>
    </row>
    <row r="10" spans="1:10" x14ac:dyDescent="0.25">
      <c r="A10" s="1">
        <v>9</v>
      </c>
      <c r="B10" s="1" t="s">
        <v>14</v>
      </c>
      <c r="G10" s="3">
        <v>5900</v>
      </c>
    </row>
    <row r="11" spans="1:10" x14ac:dyDescent="0.25">
      <c r="A11" s="1">
        <v>10</v>
      </c>
      <c r="B11" s="1" t="s">
        <v>15</v>
      </c>
      <c r="G11" s="3">
        <v>3900</v>
      </c>
    </row>
    <row r="12" spans="1:10" ht="30" x14ac:dyDescent="0.25">
      <c r="A12" s="1">
        <v>11</v>
      </c>
      <c r="B12" s="1" t="s">
        <v>19</v>
      </c>
      <c r="G12" s="3">
        <v>0</v>
      </c>
    </row>
  </sheetData>
  <hyperlinks>
    <hyperlink ref="C2" r:id="rId1" xr:uid="{80B2B9F5-A7E6-4B2A-B026-7DFC2A642C0A}"/>
    <hyperlink ref="C3" r:id="rId2" xr:uid="{2C9A00A6-E8CD-4FA0-A9C1-F2F1AC4DDCA3}"/>
    <hyperlink ref="C5" r:id="rId3" xr:uid="{517CB110-23F4-4DEE-A95D-9E230E67512E}"/>
    <hyperlink ref="C7" r:id="rId4" xr:uid="{3D5239DD-6024-4323-B60F-B0954BA245F0}"/>
    <hyperlink ref="C6" r:id="rId5" xr:uid="{FDBCF34F-BDB7-470D-813F-5F577188017D}"/>
    <hyperlink ref="C4" r:id="rId6" xr:uid="{0CBE37C0-CAD4-41E1-8BA6-84ED7B93874B}"/>
    <hyperlink ref="C8" r:id="rId7" xr:uid="{F7F2E141-672A-4BDA-833C-AE4BF4264A61}"/>
  </hyperlinks>
  <pageMargins left="0.7" right="0.7" top="0.75" bottom="0.75" header="0.3" footer="0.3"/>
  <pageSetup paperSize="9" orientation="portrait" verticalDpi="0" r:id="rId8"/>
  <drawing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D9EB15-0E82-4285-B3D1-0C209112AB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ITman</dc:creator>
  <cp:lastModifiedBy>ITman</cp:lastModifiedBy>
  <dcterms:created xsi:type="dcterms:W3CDTF">2023-10-01T14:14:29Z</dcterms:created>
  <dcterms:modified xsi:type="dcterms:W3CDTF">2023-10-06T13:49:27Z</dcterms:modified>
</cp:coreProperties>
</file>